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Projeto Aliança - RS\"/>
    </mc:Choice>
  </mc:AlternateContent>
  <xr:revisionPtr revIDLastSave="0" documentId="13_ncr:1_{0ACEEFFB-B727-4C4A-AC9F-77DF36120C4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Expor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  <c r="J3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BE2DA62-C8D3-436C-890C-04C1F611A11B}" keepAlive="1" name="Consulta - Base3" description="Conexão com a consulta 'Base3' na pasta de trabalho." type="5" refreshedVersion="0" background="1">
    <dbPr connection="Provider=Microsoft.Mashup.OleDb.1;Data Source=$Workbook$;Location=Base3;Extended Properties=&quot;&quot;" command="SELECT * FROM [Base3]"/>
  </connection>
  <connection id="2" xr16:uid="{407FAB9F-9ADF-4D5A-877F-CDD7012C792A}" keepAlive="1" name="Consulta - Tabela1" description="Conexão com a consulta 'Tabela1' na pasta de trabalho." type="5" refreshedVersion="0" background="1" saveData="1">
    <dbPr connection="Provider=Microsoft.Mashup.OleDb.1;Data Source=$Workbook$;Location=Tabela1;Extended Properties=&quot;&quot;" command="SELECT * FROM [Tabela1]"/>
  </connection>
</connections>
</file>

<file path=xl/sharedStrings.xml><?xml version="1.0" encoding="utf-8"?>
<sst xmlns="http://schemas.openxmlformats.org/spreadsheetml/2006/main" count="616" uniqueCount="113">
  <si>
    <t>Fornecedor</t>
  </si>
  <si>
    <t>Semana</t>
  </si>
  <si>
    <t>Ellca Metropolitana</t>
  </si>
  <si>
    <t>Manutenção</t>
  </si>
  <si>
    <t>Setup Carbonifera</t>
  </si>
  <si>
    <t>Semana 02</t>
  </si>
  <si>
    <t>Setup Litoral</t>
  </si>
  <si>
    <t>Setup Metropolitana</t>
  </si>
  <si>
    <t>Semana 03</t>
  </si>
  <si>
    <t>Gerência</t>
  </si>
  <si>
    <t>Semana 04</t>
  </si>
  <si>
    <t>Semana 05</t>
  </si>
  <si>
    <t>Alta Construções Ltda</t>
  </si>
  <si>
    <t>Obras</t>
  </si>
  <si>
    <t>Conecta</t>
  </si>
  <si>
    <t>Ellca 2 Serviços e Locações LT</t>
  </si>
  <si>
    <t>Ellca 3 Serviços e Locações LT</t>
  </si>
  <si>
    <t>JJ Serviços Eletricos Ltda</t>
  </si>
  <si>
    <t>Progen Energia S.A</t>
  </si>
  <si>
    <t>Sinergia</t>
  </si>
  <si>
    <t>Norte</t>
  </si>
  <si>
    <t>Profundidade</t>
  </si>
  <si>
    <t>Regional</t>
  </si>
  <si>
    <t>Tipo_Registro</t>
  </si>
  <si>
    <t>Horizonte de Programação</t>
  </si>
  <si>
    <t>Eliminação de Restrição</t>
  </si>
  <si>
    <t>Execução da Programação</t>
  </si>
  <si>
    <t>Pontos</t>
  </si>
  <si>
    <t>NORTE</t>
  </si>
  <si>
    <t>Detalhe</t>
  </si>
  <si>
    <t>0.0</t>
  </si>
  <si>
    <t>87.5</t>
  </si>
  <si>
    <t>100.0</t>
  </si>
  <si>
    <t>96.0</t>
  </si>
  <si>
    <t>75.0</t>
  </si>
  <si>
    <t>97.78</t>
  </si>
  <si>
    <t>Consolidado</t>
  </si>
  <si>
    <t>59.38</t>
  </si>
  <si>
    <t>16.92</t>
  </si>
  <si>
    <t>25.0</t>
  </si>
  <si>
    <t>62.5</t>
  </si>
  <si>
    <t>97.8</t>
  </si>
  <si>
    <t>49.56</t>
  </si>
  <si>
    <t>12.5</t>
  </si>
  <si>
    <t>92.0</t>
  </si>
  <si>
    <t>50.0</t>
  </si>
  <si>
    <t>55.17</t>
  </si>
  <si>
    <t>95.35</t>
  </si>
  <si>
    <t>65.62</t>
  </si>
  <si>
    <t>24.64</t>
  </si>
  <si>
    <t>37.5</t>
  </si>
  <si>
    <t>96.88</t>
  </si>
  <si>
    <t>68.57</t>
  </si>
  <si>
    <t>68.27</t>
  </si>
  <si>
    <t>68.75</t>
  </si>
  <si>
    <t>84.78</t>
  </si>
  <si>
    <t>93.43</t>
  </si>
  <si>
    <t>16.67</t>
  </si>
  <si>
    <t>74.29</t>
  </si>
  <si>
    <t>83.33</t>
  </si>
  <si>
    <t>80.0</t>
  </si>
  <si>
    <t>31.94</t>
  </si>
  <si>
    <t>7.14</t>
  </si>
  <si>
    <t>82.14</t>
  </si>
  <si>
    <t>31.09</t>
  </si>
  <si>
    <t>57.95</t>
  </si>
  <si>
    <t>8.89</t>
  </si>
  <si>
    <t>55.21</t>
  </si>
  <si>
    <t>80.92</t>
  </si>
  <si>
    <t>92.5</t>
  </si>
  <si>
    <t>86.44</t>
  </si>
  <si>
    <t>98.53</t>
  </si>
  <si>
    <t>40.54</t>
  </si>
  <si>
    <t>20.0</t>
  </si>
  <si>
    <t>78.12</t>
  </si>
  <si>
    <t>74.07</t>
  </si>
  <si>
    <t>9.52</t>
  </si>
  <si>
    <t>39.67</t>
  </si>
  <si>
    <t>99.33</t>
  </si>
  <si>
    <t>87.18</t>
  </si>
  <si>
    <t>60.36</t>
  </si>
  <si>
    <t>88.89</t>
  </si>
  <si>
    <t>38.55</t>
  </si>
  <si>
    <t>54.55</t>
  </si>
  <si>
    <t>28.57</t>
  </si>
  <si>
    <t>46.38</t>
  </si>
  <si>
    <t>71.43</t>
  </si>
  <si>
    <t>81.82</t>
  </si>
  <si>
    <t>51.55</t>
  </si>
  <si>
    <t>67.07</t>
  </si>
  <si>
    <t>51.14</t>
  </si>
  <si>
    <t>48.15</t>
  </si>
  <si>
    <t>78.49</t>
  </si>
  <si>
    <t>55.36</t>
  </si>
  <si>
    <t>57.28</t>
  </si>
  <si>
    <t>44.64</t>
  </si>
  <si>
    <t>71.73</t>
  </si>
  <si>
    <t>48.21</t>
  </si>
  <si>
    <t>77.0</t>
  </si>
  <si>
    <t>41.07</t>
  </si>
  <si>
    <t>73.91</t>
  </si>
  <si>
    <t>Mês</t>
  </si>
  <si>
    <t>Fechamento</t>
  </si>
  <si>
    <t>53.41</t>
  </si>
  <si>
    <t>21.5</t>
  </si>
  <si>
    <t>53.29</t>
  </si>
  <si>
    <t>64.06</t>
  </si>
  <si>
    <t>36.24</t>
  </si>
  <si>
    <t>47.32</t>
  </si>
  <si>
    <t>69.21</t>
  </si>
  <si>
    <t>Pontos Horizonte de Programação</t>
  </si>
  <si>
    <t>Pontos Eliminação de Restrição</t>
  </si>
  <si>
    <t>Pontos Execução da Programação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</si>
</sst>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Aptos Narrow"/>
    </font>
    <font>
      <sz val="8"/>
      <name val="Aptos Narrow"/>
    </font>
    <font>
      <sz val="11"/>
      <color theme="1"/>
      <name val="Aptos Narrow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15">
    <dxf>
      <numFmt numFmtId="0" formatCode="General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64" formatCode="0.0%;\-0.0%;0.0%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165" formatCode="0%;\-0%;0%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A6F941-BB11-41D3-AB38-D49C1B0A3C17}" name="Base" displayName="Base" ref="A1:M68" totalsRowShown="0" headerRowDxfId="14" dataDxfId="13">
  <autoFilter ref="A1:M68" xr:uid="{95A6F941-BB11-41D3-AB38-D49C1B0A3C17}"/>
  <tableColumns count="13">
    <tableColumn id="1" xr3:uid="{8916AD6B-B70D-4FCA-91DD-354E5CCF1B34}" name="Regional" dataDxfId="12"/>
    <tableColumn id="21" xr3:uid="{8E0C2E38-6A1B-4277-A167-395E5828064D}" name="Gerência" dataDxfId="11"/>
    <tableColumn id="22" xr3:uid="{E3C3F158-48AD-4866-848D-48ADF8E418A4}" name="Fornecedor" dataDxfId="10"/>
    <tableColumn id="2" xr3:uid="{DACE4A03-F406-40A0-B7F3-E3D01DCA3624}" name="Tipo_Registro" dataDxfId="9"/>
    <tableColumn id="3" xr3:uid="{3822F9FC-4DE3-4CEF-977A-14EDF0C4E64C}" name="Profundidade" dataDxfId="8"/>
    <tableColumn id="4" xr3:uid="{B8CA6EA1-A46C-4E6F-BFB0-559BAEC9EB8B}" name="Semana" dataDxfId="7"/>
    <tableColumn id="5" xr3:uid="{F24C886D-89E0-4632-86E7-C39AE08ECE14}" name="Horizonte de Programação" dataDxfId="6"/>
    <tableColumn id="9" xr3:uid="{3B009060-2E2B-48B9-BACD-272896321CA8}" name="Pontos Horizonte de Programação" dataDxfId="4">
      <calculatedColumnFormula>_xlfn.LET(_xlpm.x,VALUE(SUBSTITUTE(G2,".",",")),IF(_xlpm.x&lt;50,0,IF(_xlpm.x&lt;60,1,IF(_xlpm.x&lt;90,2,4))))</calculatedColumnFormula>
    </tableColumn>
    <tableColumn id="6" xr3:uid="{73DFAE0E-1C05-4705-818F-D4715EDCBEDE}" name="Eliminação de Restrição" dataDxfId="3"/>
    <tableColumn id="10" xr3:uid="{3F30AF7A-B85C-43E1-B4A5-1467CC066F03}" name="Pontos Eliminação de Restrição" dataDxfId="1">
      <calculatedColumnFormula>IF(A2="","",IF(VALUE(SUBSTITUTE(SUBSTITUTE(I2,"%",""),".",","))&lt;60,0,
IF(VALUE(SUBSTITUTE(SUBSTITUTE(I2,"%",""),".",","))&lt;70,1,
IF(VALUE(SUBSTITUTE(SUBSTITUTE(I2,"%",""),".",","))&lt;85,2,4))))</calculatedColumnFormula>
    </tableColumn>
    <tableColumn id="7" xr3:uid="{F987E488-75A2-4DFF-9ABD-6832D38BCE39}" name="Execução da Programação" dataDxfId="2"/>
    <tableColumn id="11" xr3:uid="{BBC6CEC9-1B81-4EEE-BDB7-8A5EDAB293BC}" name="Pontos Execução da Programação" dataDxfId="0">
      <calculatedColumnFormula>IF(A2="","",IF(VALUE(SUBSTITUTE(SUBSTITUTE(K2,"%",""),".",","))&lt;60,0,
IF(VALUE(SUBSTITUTE(SUBSTITUTE(K2,"%",""),".",","))&lt;70,1,
IF(VALUE(SUBSTITUTE(SUBSTITUTE(K2,"%",""),".",","))&lt;85,2,4))))</calculatedColumnFormula>
    </tableColumn>
    <tableColumn id="8" xr3:uid="{C0FA5938-682A-4A1B-A244-47C9022F78DB}" name="Pontos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8"/>
  <sheetViews>
    <sheetView tabSelected="1" zoomScale="70" zoomScaleNormal="70" workbookViewId="0">
      <selection activeCell="H27" sqref="H27"/>
    </sheetView>
  </sheetViews>
  <sheetFormatPr defaultColWidth="8.6640625" defaultRowHeight="14.4" x14ac:dyDescent="0.3"/>
  <cols>
    <col min="1" max="1" width="11.6640625" style="1" bestFit="1" customWidth="1"/>
    <col min="2" max="2" width="11.88671875" style="1" bestFit="1" customWidth="1"/>
    <col min="3" max="3" width="26" style="1" bestFit="1" customWidth="1"/>
    <col min="4" max="4" width="15.6640625" style="1" bestFit="1" customWidth="1"/>
    <col min="5" max="5" width="15.77734375" style="1" bestFit="1" customWidth="1"/>
    <col min="6" max="6" width="11.33203125" style="1" bestFit="1" customWidth="1"/>
    <col min="7" max="7" width="26.6640625" style="1" bestFit="1" customWidth="1"/>
    <col min="8" max="8" width="33.33203125" style="1" bestFit="1" customWidth="1"/>
    <col min="9" max="9" width="24.6640625" style="1" bestFit="1" customWidth="1"/>
    <col min="10" max="10" width="31.21875" style="1" bestFit="1" customWidth="1"/>
    <col min="11" max="11" width="26.44140625" style="1" bestFit="1" customWidth="1"/>
    <col min="12" max="12" width="33.109375" style="1" bestFit="1" customWidth="1"/>
    <col min="13" max="13" width="13.44140625" style="1" bestFit="1" customWidth="1"/>
    <col min="14" max="16384" width="8.6640625" style="1"/>
  </cols>
  <sheetData>
    <row r="1" spans="1:13" x14ac:dyDescent="0.3">
      <c r="A1" t="s">
        <v>22</v>
      </c>
      <c r="B1" t="s">
        <v>9</v>
      </c>
      <c r="C1" t="s">
        <v>0</v>
      </c>
      <c r="D1" t="s">
        <v>23</v>
      </c>
      <c r="E1" t="s">
        <v>21</v>
      </c>
      <c r="F1" t="s">
        <v>1</v>
      </c>
      <c r="G1" s="1" t="s">
        <v>24</v>
      </c>
      <c r="H1" s="1" t="s">
        <v>110</v>
      </c>
      <c r="I1" s="1" t="s">
        <v>25</v>
      </c>
      <c r="J1" s="1" t="s">
        <v>111</v>
      </c>
      <c r="K1" s="1" t="s">
        <v>26</v>
      </c>
      <c r="L1" s="1" t="s">
        <v>112</v>
      </c>
      <c r="M1" s="1" t="s">
        <v>27</v>
      </c>
    </row>
    <row r="2" spans="1:13" x14ac:dyDescent="0.3">
      <c r="A2" t="s">
        <v>28</v>
      </c>
      <c r="B2" t="s">
        <v>3</v>
      </c>
      <c r="C2" t="s">
        <v>2</v>
      </c>
      <c r="D2" t="s">
        <v>29</v>
      </c>
      <c r="E2" t="s">
        <v>1</v>
      </c>
      <c r="F2" t="s">
        <v>5</v>
      </c>
      <c r="G2" s="4" t="s">
        <v>30</v>
      </c>
      <c r="H2" s="1">
        <f t="shared" ref="H2:J33" si="0">_xlfn.LET(_xlpm.x,VALUE(SUBSTITUTE(G2,".",",")),IF(_xlpm.x&lt;50,0,IF(_xlpm.x&lt;60,1,IF(_xlpm.x&lt;90,2,4))))</f>
        <v>0</v>
      </c>
      <c r="I2" s="1" t="s">
        <v>30</v>
      </c>
      <c r="J2" s="5">
        <f t="shared" ref="J2:J33" si="1">IF(A2="","",IF(VALUE(SUBSTITUTE(SUBSTITUTE(I2,"%",""),".",","))&lt;60,0,
IF(VALUE(SUBSTITUTE(SUBSTITUTE(I2,"%",""),".",","))&lt;70,1,
IF(VALUE(SUBSTITUTE(SUBSTITUTE(I2,"%",""),".",","))&lt;85,2,4))))</f>
        <v>0</v>
      </c>
      <c r="K2" s="1" t="s">
        <v>30</v>
      </c>
      <c r="L2" s="1">
        <f t="shared" ref="L2:L33" si="2">IF(A2="","",IF(VALUE(SUBSTITUTE(SUBSTITUTE(K2,"%",""),".",","))&lt;60,0,
IF(VALUE(SUBSTITUTE(SUBSTITUTE(K2,"%",""),".",","))&lt;70,1,
IF(VALUE(SUBSTITUTE(SUBSTITUTE(K2,"%",""),".",","))&lt;85,2,4))))</f>
        <v>0</v>
      </c>
      <c r="M2" s="1">
        <v>0</v>
      </c>
    </row>
    <row r="3" spans="1:13" x14ac:dyDescent="0.3">
      <c r="A3" t="s">
        <v>28</v>
      </c>
      <c r="B3" t="s">
        <v>3</v>
      </c>
      <c r="C3" t="s">
        <v>4</v>
      </c>
      <c r="D3" t="s">
        <v>29</v>
      </c>
      <c r="E3" t="s">
        <v>1</v>
      </c>
      <c r="F3" t="s">
        <v>5</v>
      </c>
      <c r="G3" s="4" t="s">
        <v>31</v>
      </c>
      <c r="H3" s="1">
        <f t="shared" si="0"/>
        <v>2</v>
      </c>
      <c r="I3" s="1" t="s">
        <v>32</v>
      </c>
      <c r="J3" s="5">
        <f t="shared" si="1"/>
        <v>4</v>
      </c>
      <c r="K3" s="1" t="s">
        <v>33</v>
      </c>
      <c r="L3" s="1">
        <f t="shared" si="2"/>
        <v>4</v>
      </c>
      <c r="M3" s="1">
        <v>10</v>
      </c>
    </row>
    <row r="4" spans="1:13" x14ac:dyDescent="0.3">
      <c r="A4" t="s">
        <v>28</v>
      </c>
      <c r="B4" t="s">
        <v>3</v>
      </c>
      <c r="C4" t="s">
        <v>6</v>
      </c>
      <c r="D4" t="s">
        <v>29</v>
      </c>
      <c r="E4" t="s">
        <v>1</v>
      </c>
      <c r="F4" t="s">
        <v>5</v>
      </c>
      <c r="G4" s="4" t="s">
        <v>34</v>
      </c>
      <c r="H4" s="1">
        <f t="shared" si="0"/>
        <v>2</v>
      </c>
      <c r="I4" s="1" t="s">
        <v>32</v>
      </c>
      <c r="J4" s="5">
        <f t="shared" si="1"/>
        <v>4</v>
      </c>
      <c r="K4" s="1" t="s">
        <v>30</v>
      </c>
      <c r="L4" s="1">
        <f t="shared" si="2"/>
        <v>0</v>
      </c>
      <c r="M4" s="1">
        <v>6</v>
      </c>
    </row>
    <row r="5" spans="1:13" x14ac:dyDescent="0.3">
      <c r="A5" t="s">
        <v>28</v>
      </c>
      <c r="B5" t="s">
        <v>3</v>
      </c>
      <c r="C5" t="s">
        <v>7</v>
      </c>
      <c r="D5" t="s">
        <v>29</v>
      </c>
      <c r="E5" t="s">
        <v>1</v>
      </c>
      <c r="F5" t="s">
        <v>5</v>
      </c>
      <c r="G5" s="4" t="s">
        <v>31</v>
      </c>
      <c r="H5" s="1">
        <f t="shared" si="0"/>
        <v>2</v>
      </c>
      <c r="I5" s="1" t="s">
        <v>32</v>
      </c>
      <c r="J5" s="5">
        <f t="shared" si="1"/>
        <v>4</v>
      </c>
      <c r="K5" s="1" t="s">
        <v>35</v>
      </c>
      <c r="L5" s="1">
        <f t="shared" si="2"/>
        <v>4</v>
      </c>
      <c r="M5" s="1">
        <v>10</v>
      </c>
    </row>
    <row r="6" spans="1:13" x14ac:dyDescent="0.3">
      <c r="A6" t="s">
        <v>28</v>
      </c>
      <c r="B6" t="s">
        <v>3</v>
      </c>
      <c r="C6" t="s">
        <v>3</v>
      </c>
      <c r="D6" t="s">
        <v>36</v>
      </c>
      <c r="E6" t="s">
        <v>1</v>
      </c>
      <c r="F6" t="s">
        <v>8</v>
      </c>
      <c r="G6" s="4" t="s">
        <v>37</v>
      </c>
      <c r="H6" s="1">
        <f t="shared" si="0"/>
        <v>1</v>
      </c>
      <c r="I6" s="1" t="s">
        <v>32</v>
      </c>
      <c r="J6" s="5">
        <f t="shared" si="1"/>
        <v>4</v>
      </c>
      <c r="K6" s="1" t="s">
        <v>38</v>
      </c>
      <c r="L6" s="1">
        <f t="shared" si="2"/>
        <v>0</v>
      </c>
      <c r="M6" s="1">
        <v>5</v>
      </c>
    </row>
    <row r="7" spans="1:13" x14ac:dyDescent="0.3">
      <c r="A7" t="s">
        <v>28</v>
      </c>
      <c r="B7" t="s">
        <v>3</v>
      </c>
      <c r="C7" t="s">
        <v>2</v>
      </c>
      <c r="D7" t="s">
        <v>29</v>
      </c>
      <c r="E7" t="s">
        <v>1</v>
      </c>
      <c r="F7" t="s">
        <v>8</v>
      </c>
      <c r="G7" s="4" t="s">
        <v>39</v>
      </c>
      <c r="H7" s="1">
        <f t="shared" si="0"/>
        <v>0</v>
      </c>
      <c r="I7" s="1" t="s">
        <v>32</v>
      </c>
      <c r="J7" s="5">
        <f t="shared" si="1"/>
        <v>4</v>
      </c>
      <c r="K7" s="1" t="s">
        <v>30</v>
      </c>
      <c r="L7" s="1">
        <f t="shared" si="2"/>
        <v>0</v>
      </c>
      <c r="M7" s="1">
        <v>4</v>
      </c>
    </row>
    <row r="8" spans="1:13" x14ac:dyDescent="0.3">
      <c r="A8" t="s">
        <v>28</v>
      </c>
      <c r="B8" t="s">
        <v>3</v>
      </c>
      <c r="C8" t="s">
        <v>4</v>
      </c>
      <c r="D8" t="s">
        <v>29</v>
      </c>
      <c r="E8" t="s">
        <v>1</v>
      </c>
      <c r="F8" t="s">
        <v>8</v>
      </c>
      <c r="G8" s="4" t="s">
        <v>34</v>
      </c>
      <c r="H8" s="1">
        <f t="shared" si="0"/>
        <v>2</v>
      </c>
      <c r="I8" s="1" t="s">
        <v>32</v>
      </c>
      <c r="J8" s="5">
        <f t="shared" si="1"/>
        <v>4</v>
      </c>
      <c r="K8" s="1" t="s">
        <v>33</v>
      </c>
      <c r="L8" s="1">
        <f t="shared" si="2"/>
        <v>4</v>
      </c>
      <c r="M8" s="1">
        <v>10</v>
      </c>
    </row>
    <row r="9" spans="1:13" x14ac:dyDescent="0.3">
      <c r="A9" t="s">
        <v>28</v>
      </c>
      <c r="B9" t="s">
        <v>3</v>
      </c>
      <c r="C9" t="s">
        <v>6</v>
      </c>
      <c r="D9" t="s">
        <v>29</v>
      </c>
      <c r="E9" t="s">
        <v>1</v>
      </c>
      <c r="F9" t="s">
        <v>8</v>
      </c>
      <c r="G9" s="4" t="s">
        <v>40</v>
      </c>
      <c r="H9" s="1">
        <f t="shared" si="0"/>
        <v>2</v>
      </c>
      <c r="I9" s="1" t="s">
        <v>32</v>
      </c>
      <c r="J9" s="5">
        <f t="shared" si="1"/>
        <v>4</v>
      </c>
      <c r="K9" s="1" t="s">
        <v>30</v>
      </c>
      <c r="L9" s="1">
        <f t="shared" si="2"/>
        <v>0</v>
      </c>
      <c r="M9" s="1">
        <v>6</v>
      </c>
    </row>
    <row r="10" spans="1:13" x14ac:dyDescent="0.3">
      <c r="A10" t="s">
        <v>28</v>
      </c>
      <c r="B10" t="s">
        <v>3</v>
      </c>
      <c r="C10" t="s">
        <v>7</v>
      </c>
      <c r="D10" t="s">
        <v>29</v>
      </c>
      <c r="E10" t="s">
        <v>1</v>
      </c>
      <c r="F10" t="s">
        <v>8</v>
      </c>
      <c r="G10" s="4" t="s">
        <v>34</v>
      </c>
      <c r="H10" s="1">
        <f t="shared" si="0"/>
        <v>2</v>
      </c>
      <c r="I10" s="1" t="s">
        <v>32</v>
      </c>
      <c r="J10" s="5">
        <f t="shared" si="1"/>
        <v>4</v>
      </c>
      <c r="K10" s="1" t="s">
        <v>41</v>
      </c>
      <c r="L10" s="1">
        <f t="shared" si="2"/>
        <v>4</v>
      </c>
      <c r="M10" s="1">
        <v>10</v>
      </c>
    </row>
    <row r="11" spans="1:13" x14ac:dyDescent="0.3">
      <c r="A11" t="s">
        <v>28</v>
      </c>
      <c r="B11" t="s">
        <v>3</v>
      </c>
      <c r="C11" t="s">
        <v>3</v>
      </c>
      <c r="D11" t="s">
        <v>36</v>
      </c>
      <c r="E11" t="s">
        <v>1</v>
      </c>
      <c r="F11" t="s">
        <v>5</v>
      </c>
      <c r="G11" s="4" t="s">
        <v>40</v>
      </c>
      <c r="H11" s="1">
        <f t="shared" si="0"/>
        <v>2</v>
      </c>
      <c r="I11" s="1" t="s">
        <v>32</v>
      </c>
      <c r="J11" s="5">
        <f t="shared" si="1"/>
        <v>4</v>
      </c>
      <c r="K11" s="1" t="s">
        <v>42</v>
      </c>
      <c r="L11" s="1">
        <f t="shared" si="2"/>
        <v>0</v>
      </c>
      <c r="M11" s="1">
        <v>6</v>
      </c>
    </row>
    <row r="12" spans="1:13" x14ac:dyDescent="0.3">
      <c r="A12" t="s">
        <v>28</v>
      </c>
      <c r="B12" t="s">
        <v>3</v>
      </c>
      <c r="C12" t="s">
        <v>2</v>
      </c>
      <c r="D12" t="s">
        <v>29</v>
      </c>
      <c r="E12" t="s">
        <v>1</v>
      </c>
      <c r="F12" t="s">
        <v>10</v>
      </c>
      <c r="G12" s="4" t="s">
        <v>43</v>
      </c>
      <c r="H12" s="1">
        <f t="shared" si="0"/>
        <v>0</v>
      </c>
      <c r="I12" s="1" t="s">
        <v>32</v>
      </c>
      <c r="J12" s="5">
        <f t="shared" si="1"/>
        <v>4</v>
      </c>
      <c r="K12" s="1" t="s">
        <v>30</v>
      </c>
      <c r="L12" s="1">
        <f t="shared" si="2"/>
        <v>0</v>
      </c>
      <c r="M12" s="1">
        <v>4</v>
      </c>
    </row>
    <row r="13" spans="1:13" x14ac:dyDescent="0.3">
      <c r="A13" t="s">
        <v>28</v>
      </c>
      <c r="B13" t="s">
        <v>3</v>
      </c>
      <c r="C13" t="s">
        <v>4</v>
      </c>
      <c r="D13" t="s">
        <v>29</v>
      </c>
      <c r="E13" t="s">
        <v>1</v>
      </c>
      <c r="F13" t="s">
        <v>10</v>
      </c>
      <c r="G13" s="4" t="s">
        <v>32</v>
      </c>
      <c r="H13" s="1">
        <f t="shared" si="0"/>
        <v>4</v>
      </c>
      <c r="I13" s="1" t="s">
        <v>32</v>
      </c>
      <c r="J13" s="5">
        <f t="shared" si="1"/>
        <v>4</v>
      </c>
      <c r="K13" s="1" t="s">
        <v>44</v>
      </c>
      <c r="L13" s="1">
        <f t="shared" si="2"/>
        <v>4</v>
      </c>
      <c r="M13" s="1">
        <v>12</v>
      </c>
    </row>
    <row r="14" spans="1:13" x14ac:dyDescent="0.3">
      <c r="A14" t="s">
        <v>28</v>
      </c>
      <c r="B14" t="s">
        <v>3</v>
      </c>
      <c r="C14" t="s">
        <v>6</v>
      </c>
      <c r="D14" t="s">
        <v>29</v>
      </c>
      <c r="E14" t="s">
        <v>1</v>
      </c>
      <c r="F14" t="s">
        <v>10</v>
      </c>
      <c r="G14" s="4" t="s">
        <v>45</v>
      </c>
      <c r="H14" s="1">
        <f t="shared" si="0"/>
        <v>1</v>
      </c>
      <c r="I14" s="1" t="s">
        <v>32</v>
      </c>
      <c r="J14" s="5">
        <f t="shared" si="1"/>
        <v>4</v>
      </c>
      <c r="K14" s="1" t="s">
        <v>46</v>
      </c>
      <c r="L14" s="1">
        <f t="shared" si="2"/>
        <v>0</v>
      </c>
      <c r="M14" s="1">
        <v>5</v>
      </c>
    </row>
    <row r="15" spans="1:13" x14ac:dyDescent="0.3">
      <c r="A15" t="s">
        <v>28</v>
      </c>
      <c r="B15" t="s">
        <v>3</v>
      </c>
      <c r="C15" t="s">
        <v>7</v>
      </c>
      <c r="D15" t="s">
        <v>29</v>
      </c>
      <c r="E15" t="s">
        <v>1</v>
      </c>
      <c r="F15" t="s">
        <v>10</v>
      </c>
      <c r="G15" s="4" t="s">
        <v>32</v>
      </c>
      <c r="H15" s="1">
        <f t="shared" si="0"/>
        <v>4</v>
      </c>
      <c r="I15" s="1" t="s">
        <v>32</v>
      </c>
      <c r="J15" s="5">
        <f t="shared" si="1"/>
        <v>4</v>
      </c>
      <c r="K15" s="1" t="s">
        <v>47</v>
      </c>
      <c r="L15" s="1">
        <f t="shared" si="2"/>
        <v>4</v>
      </c>
      <c r="M15" s="1">
        <v>12</v>
      </c>
    </row>
    <row r="16" spans="1:13" x14ac:dyDescent="0.3">
      <c r="A16" t="s">
        <v>28</v>
      </c>
      <c r="B16" t="s">
        <v>3</v>
      </c>
      <c r="C16" t="s">
        <v>3</v>
      </c>
      <c r="D16" t="s">
        <v>36</v>
      </c>
      <c r="E16" t="s">
        <v>1</v>
      </c>
      <c r="F16" t="s">
        <v>10</v>
      </c>
      <c r="G16" s="4" t="s">
        <v>48</v>
      </c>
      <c r="H16" s="1">
        <f t="shared" si="0"/>
        <v>2</v>
      </c>
      <c r="I16" s="1" t="s">
        <v>32</v>
      </c>
      <c r="J16" s="5">
        <f t="shared" si="1"/>
        <v>4</v>
      </c>
      <c r="K16" s="1" t="s">
        <v>49</v>
      </c>
      <c r="L16" s="1">
        <f t="shared" si="2"/>
        <v>0</v>
      </c>
      <c r="M16" s="1">
        <v>6</v>
      </c>
    </row>
    <row r="17" spans="1:13" x14ac:dyDescent="0.3">
      <c r="A17" t="s">
        <v>28</v>
      </c>
      <c r="B17" t="s">
        <v>3</v>
      </c>
      <c r="C17" t="s">
        <v>2</v>
      </c>
      <c r="D17" t="s">
        <v>29</v>
      </c>
      <c r="E17" t="s">
        <v>1</v>
      </c>
      <c r="F17" t="s">
        <v>11</v>
      </c>
      <c r="G17" s="4" t="s">
        <v>50</v>
      </c>
      <c r="H17" s="1">
        <f t="shared" si="0"/>
        <v>0</v>
      </c>
      <c r="I17" s="1" t="s">
        <v>32</v>
      </c>
      <c r="J17" s="5">
        <f t="shared" si="1"/>
        <v>4</v>
      </c>
      <c r="K17" s="1" t="s">
        <v>32</v>
      </c>
      <c r="L17" s="1">
        <f t="shared" si="2"/>
        <v>4</v>
      </c>
      <c r="M17" s="1">
        <v>8</v>
      </c>
    </row>
    <row r="18" spans="1:13" x14ac:dyDescent="0.3">
      <c r="A18" t="s">
        <v>28</v>
      </c>
      <c r="B18" t="s">
        <v>3</v>
      </c>
      <c r="C18" t="s">
        <v>4</v>
      </c>
      <c r="D18" t="s">
        <v>29</v>
      </c>
      <c r="E18" t="s">
        <v>1</v>
      </c>
      <c r="F18" t="s">
        <v>11</v>
      </c>
      <c r="G18" s="4" t="s">
        <v>32</v>
      </c>
      <c r="H18" s="1">
        <f t="shared" si="0"/>
        <v>4</v>
      </c>
      <c r="I18" s="1" t="s">
        <v>32</v>
      </c>
      <c r="J18" s="5">
        <f t="shared" si="1"/>
        <v>4</v>
      </c>
      <c r="K18" s="1" t="s">
        <v>51</v>
      </c>
      <c r="L18" s="1">
        <f t="shared" si="2"/>
        <v>4</v>
      </c>
      <c r="M18" s="1">
        <v>12</v>
      </c>
    </row>
    <row r="19" spans="1:13" x14ac:dyDescent="0.3">
      <c r="A19" t="s">
        <v>28</v>
      </c>
      <c r="B19" t="s">
        <v>3</v>
      </c>
      <c r="C19" t="s">
        <v>6</v>
      </c>
      <c r="D19" t="s">
        <v>29</v>
      </c>
      <c r="E19" t="s">
        <v>1</v>
      </c>
      <c r="F19" t="s">
        <v>11</v>
      </c>
      <c r="G19" s="4" t="s">
        <v>50</v>
      </c>
      <c r="H19" s="1">
        <f t="shared" si="0"/>
        <v>0</v>
      </c>
      <c r="I19" s="1" t="s">
        <v>32</v>
      </c>
      <c r="J19" s="5">
        <f t="shared" si="1"/>
        <v>4</v>
      </c>
      <c r="K19" s="1" t="s">
        <v>52</v>
      </c>
      <c r="L19" s="1">
        <f t="shared" si="2"/>
        <v>1</v>
      </c>
      <c r="M19" s="1">
        <v>5</v>
      </c>
    </row>
    <row r="20" spans="1:13" x14ac:dyDescent="0.3">
      <c r="A20" t="s">
        <v>28</v>
      </c>
      <c r="B20" t="s">
        <v>3</v>
      </c>
      <c r="C20" t="s">
        <v>7</v>
      </c>
      <c r="D20" t="s">
        <v>29</v>
      </c>
      <c r="E20" t="s">
        <v>1</v>
      </c>
      <c r="F20" t="s">
        <v>11</v>
      </c>
      <c r="G20" s="4" t="s">
        <v>32</v>
      </c>
      <c r="H20" s="1">
        <f t="shared" si="0"/>
        <v>4</v>
      </c>
      <c r="I20" s="1" t="s">
        <v>32</v>
      </c>
      <c r="J20" s="5">
        <f t="shared" si="1"/>
        <v>4</v>
      </c>
      <c r="K20" s="1" t="s">
        <v>53</v>
      </c>
      <c r="L20" s="1">
        <f t="shared" si="2"/>
        <v>1</v>
      </c>
      <c r="M20" s="1">
        <v>9</v>
      </c>
    </row>
    <row r="21" spans="1:13" x14ac:dyDescent="0.3">
      <c r="A21" t="s">
        <v>28</v>
      </c>
      <c r="B21" t="s">
        <v>3</v>
      </c>
      <c r="C21" t="s">
        <v>3</v>
      </c>
      <c r="D21" t="s">
        <v>36</v>
      </c>
      <c r="E21" t="s">
        <v>1</v>
      </c>
      <c r="F21" t="s">
        <v>11</v>
      </c>
      <c r="G21" s="4" t="s">
        <v>54</v>
      </c>
      <c r="H21" s="1">
        <f t="shared" si="0"/>
        <v>2</v>
      </c>
      <c r="I21" s="1" t="s">
        <v>32</v>
      </c>
      <c r="J21" s="5">
        <f t="shared" si="1"/>
        <v>4</v>
      </c>
      <c r="K21" s="1" t="s">
        <v>55</v>
      </c>
      <c r="L21" s="1">
        <f t="shared" si="2"/>
        <v>2</v>
      </c>
      <c r="M21" s="1">
        <v>8</v>
      </c>
    </row>
    <row r="22" spans="1:13" x14ac:dyDescent="0.3">
      <c r="A22" t="s">
        <v>28</v>
      </c>
      <c r="B22" t="s">
        <v>13</v>
      </c>
      <c r="C22" s="2" t="s">
        <v>12</v>
      </c>
      <c r="D22" t="s">
        <v>29</v>
      </c>
      <c r="E22" t="s">
        <v>1</v>
      </c>
      <c r="F22" t="s">
        <v>5</v>
      </c>
      <c r="G22" s="4" t="s">
        <v>39</v>
      </c>
      <c r="H22" s="1">
        <f t="shared" si="0"/>
        <v>0</v>
      </c>
      <c r="I22" s="1" t="s">
        <v>32</v>
      </c>
      <c r="J22" s="5">
        <f t="shared" si="1"/>
        <v>4</v>
      </c>
      <c r="K22" s="1" t="s">
        <v>56</v>
      </c>
      <c r="L22" s="1">
        <f t="shared" si="2"/>
        <v>4</v>
      </c>
      <c r="M22" s="1">
        <v>8</v>
      </c>
    </row>
    <row r="23" spans="1:13" x14ac:dyDescent="0.3">
      <c r="A23" t="s">
        <v>28</v>
      </c>
      <c r="B23" t="s">
        <v>13</v>
      </c>
      <c r="C23" t="s">
        <v>14</v>
      </c>
      <c r="D23" t="s">
        <v>29</v>
      </c>
      <c r="E23" t="s">
        <v>1</v>
      </c>
      <c r="F23" t="s">
        <v>5</v>
      </c>
      <c r="G23" s="4" t="s">
        <v>31</v>
      </c>
      <c r="H23" s="1">
        <f t="shared" si="0"/>
        <v>2</v>
      </c>
      <c r="I23" s="1" t="s">
        <v>57</v>
      </c>
      <c r="J23" s="5">
        <f t="shared" si="1"/>
        <v>0</v>
      </c>
      <c r="K23" s="1" t="s">
        <v>58</v>
      </c>
      <c r="L23" s="1">
        <f t="shared" si="2"/>
        <v>2</v>
      </c>
      <c r="M23" s="1">
        <v>4</v>
      </c>
    </row>
    <row r="24" spans="1:13" x14ac:dyDescent="0.3">
      <c r="A24" t="s">
        <v>28</v>
      </c>
      <c r="B24" t="s">
        <v>13</v>
      </c>
      <c r="C24" s="2" t="s">
        <v>15</v>
      </c>
      <c r="D24" t="s">
        <v>29</v>
      </c>
      <c r="E24" t="s">
        <v>1</v>
      </c>
      <c r="F24" t="s">
        <v>5</v>
      </c>
      <c r="G24" s="4" t="s">
        <v>50</v>
      </c>
      <c r="H24" s="1">
        <f t="shared" si="0"/>
        <v>0</v>
      </c>
      <c r="I24" s="1" t="s">
        <v>32</v>
      </c>
      <c r="J24" s="5">
        <f t="shared" si="1"/>
        <v>4</v>
      </c>
      <c r="K24" s="1" t="s">
        <v>59</v>
      </c>
      <c r="L24" s="1">
        <f t="shared" si="2"/>
        <v>2</v>
      </c>
      <c r="M24" s="1">
        <v>6</v>
      </c>
    </row>
    <row r="25" spans="1:13" x14ac:dyDescent="0.3">
      <c r="A25" t="s">
        <v>28</v>
      </c>
      <c r="B25" t="s">
        <v>13</v>
      </c>
      <c r="C25" s="2" t="s">
        <v>15</v>
      </c>
      <c r="D25" t="s">
        <v>29</v>
      </c>
      <c r="E25" t="s">
        <v>1</v>
      </c>
      <c r="F25" t="s">
        <v>8</v>
      </c>
      <c r="G25" s="4" t="s">
        <v>39</v>
      </c>
      <c r="H25" s="1">
        <f t="shared" si="0"/>
        <v>0</v>
      </c>
      <c r="I25" s="1" t="s">
        <v>32</v>
      </c>
      <c r="J25" s="5">
        <f t="shared" si="1"/>
        <v>4</v>
      </c>
      <c r="K25" s="1" t="s">
        <v>60</v>
      </c>
      <c r="L25" s="1">
        <f t="shared" si="2"/>
        <v>2</v>
      </c>
      <c r="M25" s="1">
        <v>6</v>
      </c>
    </row>
    <row r="26" spans="1:13" x14ac:dyDescent="0.3">
      <c r="A26" t="s">
        <v>28</v>
      </c>
      <c r="B26" t="s">
        <v>13</v>
      </c>
      <c r="C26" s="2" t="s">
        <v>17</v>
      </c>
      <c r="D26" t="s">
        <v>29</v>
      </c>
      <c r="E26" t="s">
        <v>1</v>
      </c>
      <c r="F26" t="s">
        <v>5</v>
      </c>
      <c r="G26" s="4" t="s">
        <v>40</v>
      </c>
      <c r="H26" s="1">
        <f t="shared" si="0"/>
        <v>2</v>
      </c>
      <c r="I26" s="1" t="s">
        <v>32</v>
      </c>
      <c r="J26" s="5">
        <f t="shared" si="1"/>
        <v>4</v>
      </c>
      <c r="K26" s="1" t="s">
        <v>32</v>
      </c>
      <c r="L26" s="1">
        <f t="shared" si="2"/>
        <v>4</v>
      </c>
      <c r="M26" s="1">
        <v>10</v>
      </c>
    </row>
    <row r="27" spans="1:13" x14ac:dyDescent="0.3">
      <c r="A27" t="s">
        <v>28</v>
      </c>
      <c r="B27" t="s">
        <v>13</v>
      </c>
      <c r="C27" t="s">
        <v>18</v>
      </c>
      <c r="D27" t="s">
        <v>29</v>
      </c>
      <c r="E27" t="s">
        <v>1</v>
      </c>
      <c r="F27" t="s">
        <v>5</v>
      </c>
      <c r="G27" s="4" t="s">
        <v>45</v>
      </c>
      <c r="H27" s="1">
        <f t="shared" si="0"/>
        <v>1</v>
      </c>
      <c r="I27" s="1" t="s">
        <v>30</v>
      </c>
      <c r="J27" s="5">
        <f t="shared" si="1"/>
        <v>0</v>
      </c>
      <c r="K27" s="1" t="s">
        <v>61</v>
      </c>
      <c r="L27" s="1">
        <f t="shared" si="2"/>
        <v>0</v>
      </c>
      <c r="M27" s="1">
        <v>1</v>
      </c>
    </row>
    <row r="28" spans="1:13" x14ac:dyDescent="0.3">
      <c r="A28" t="s">
        <v>28</v>
      </c>
      <c r="B28" t="s">
        <v>13</v>
      </c>
      <c r="C28" t="s">
        <v>6</v>
      </c>
      <c r="D28" t="s">
        <v>29</v>
      </c>
      <c r="E28" t="s">
        <v>1</v>
      </c>
      <c r="F28" t="s">
        <v>5</v>
      </c>
      <c r="G28" s="4" t="s">
        <v>31</v>
      </c>
      <c r="H28" s="1">
        <f t="shared" si="0"/>
        <v>2</v>
      </c>
      <c r="I28" s="1" t="s">
        <v>62</v>
      </c>
      <c r="J28" s="5">
        <f t="shared" si="1"/>
        <v>0</v>
      </c>
      <c r="K28" s="1" t="s">
        <v>63</v>
      </c>
      <c r="L28" s="1">
        <f t="shared" si="2"/>
        <v>2</v>
      </c>
      <c r="M28" s="1">
        <v>4</v>
      </c>
    </row>
    <row r="29" spans="1:13" x14ac:dyDescent="0.3">
      <c r="A29" t="s">
        <v>28</v>
      </c>
      <c r="B29" t="s">
        <v>13</v>
      </c>
      <c r="C29" t="s">
        <v>7</v>
      </c>
      <c r="D29" t="s">
        <v>29</v>
      </c>
      <c r="E29" t="s">
        <v>1</v>
      </c>
      <c r="F29" t="s">
        <v>5</v>
      </c>
      <c r="G29" s="4" t="s">
        <v>50</v>
      </c>
      <c r="H29" s="1">
        <f t="shared" si="0"/>
        <v>0</v>
      </c>
      <c r="I29" s="1" t="s">
        <v>32</v>
      </c>
      <c r="J29" s="5">
        <f t="shared" si="1"/>
        <v>4</v>
      </c>
      <c r="K29" s="1" t="s">
        <v>64</v>
      </c>
      <c r="L29" s="1">
        <f t="shared" si="2"/>
        <v>0</v>
      </c>
      <c r="M29" s="1">
        <v>4</v>
      </c>
    </row>
    <row r="30" spans="1:13" x14ac:dyDescent="0.3">
      <c r="A30" t="s">
        <v>28</v>
      </c>
      <c r="B30" t="s">
        <v>13</v>
      </c>
      <c r="C30" t="s">
        <v>19</v>
      </c>
      <c r="D30" t="s">
        <v>29</v>
      </c>
      <c r="E30" t="s">
        <v>1</v>
      </c>
      <c r="F30" t="s">
        <v>5</v>
      </c>
      <c r="G30" s="4" t="s">
        <v>30</v>
      </c>
      <c r="H30" s="1">
        <f t="shared" si="0"/>
        <v>0</v>
      </c>
      <c r="I30" s="1" t="s">
        <v>30</v>
      </c>
      <c r="J30" s="5">
        <f t="shared" si="1"/>
        <v>0</v>
      </c>
      <c r="K30" s="1" t="s">
        <v>30</v>
      </c>
      <c r="L30" s="1">
        <f t="shared" si="2"/>
        <v>0</v>
      </c>
      <c r="M30" s="1">
        <v>0</v>
      </c>
    </row>
    <row r="31" spans="1:13" x14ac:dyDescent="0.3">
      <c r="A31" t="s">
        <v>28</v>
      </c>
      <c r="B31" t="s">
        <v>20</v>
      </c>
      <c r="C31" t="s">
        <v>20</v>
      </c>
      <c r="D31" t="s">
        <v>36</v>
      </c>
      <c r="E31" t="s">
        <v>1</v>
      </c>
      <c r="F31" t="s">
        <v>5</v>
      </c>
      <c r="G31" s="4" t="s">
        <v>65</v>
      </c>
      <c r="H31" s="1">
        <f t="shared" si="0"/>
        <v>1</v>
      </c>
      <c r="I31" s="1" t="s">
        <v>66</v>
      </c>
      <c r="J31" s="5">
        <f t="shared" si="1"/>
        <v>0</v>
      </c>
      <c r="K31" s="1" t="s">
        <v>67</v>
      </c>
      <c r="L31" s="1">
        <f t="shared" si="2"/>
        <v>0</v>
      </c>
      <c r="M31" s="1">
        <v>1</v>
      </c>
    </row>
    <row r="32" spans="1:13" x14ac:dyDescent="0.3">
      <c r="A32" t="s">
        <v>28</v>
      </c>
      <c r="B32" t="s">
        <v>13</v>
      </c>
      <c r="C32" s="2" t="s">
        <v>12</v>
      </c>
      <c r="D32" t="s">
        <v>29</v>
      </c>
      <c r="E32" t="s">
        <v>1</v>
      </c>
      <c r="F32" t="s">
        <v>8</v>
      </c>
      <c r="G32" s="4" t="s">
        <v>39</v>
      </c>
      <c r="H32" s="1">
        <f t="shared" si="0"/>
        <v>0</v>
      </c>
      <c r="I32" s="1" t="s">
        <v>32</v>
      </c>
      <c r="J32" s="5">
        <f t="shared" si="1"/>
        <v>4</v>
      </c>
      <c r="K32" s="1" t="s">
        <v>68</v>
      </c>
      <c r="L32" s="1">
        <f t="shared" si="2"/>
        <v>2</v>
      </c>
      <c r="M32" s="1">
        <v>6</v>
      </c>
    </row>
    <row r="33" spans="1:13" x14ac:dyDescent="0.3">
      <c r="A33" t="s">
        <v>28</v>
      </c>
      <c r="B33" t="s">
        <v>13</v>
      </c>
      <c r="C33" t="s">
        <v>14</v>
      </c>
      <c r="D33" t="s">
        <v>29</v>
      </c>
      <c r="E33" t="s">
        <v>1</v>
      </c>
      <c r="F33" t="s">
        <v>8</v>
      </c>
      <c r="G33" s="4" t="s">
        <v>34</v>
      </c>
      <c r="H33" s="1">
        <f t="shared" si="0"/>
        <v>2</v>
      </c>
      <c r="I33" s="1" t="s">
        <v>30</v>
      </c>
      <c r="J33" s="5">
        <f t="shared" si="1"/>
        <v>0</v>
      </c>
      <c r="K33" s="1" t="s">
        <v>69</v>
      </c>
      <c r="L33" s="1">
        <f t="shared" si="2"/>
        <v>4</v>
      </c>
      <c r="M33" s="1">
        <v>6</v>
      </c>
    </row>
    <row r="34" spans="1:13" x14ac:dyDescent="0.3">
      <c r="A34" t="s">
        <v>28</v>
      </c>
      <c r="B34" t="s">
        <v>13</v>
      </c>
      <c r="C34" s="2" t="s">
        <v>15</v>
      </c>
      <c r="D34" t="s">
        <v>29</v>
      </c>
      <c r="E34" t="s">
        <v>1</v>
      </c>
      <c r="F34" t="s">
        <v>10</v>
      </c>
      <c r="G34" s="4" t="s">
        <v>43</v>
      </c>
      <c r="H34" s="1">
        <f t="shared" ref="H34:H65" si="3">_xlfn.LET(_xlpm.x,VALUE(SUBSTITUTE(G34,".",",")),IF(_xlpm.x&lt;50,0,IF(_xlpm.x&lt;60,1,IF(_xlpm.x&lt;90,2,4))))</f>
        <v>0</v>
      </c>
      <c r="I34" s="1" t="s">
        <v>32</v>
      </c>
      <c r="J34" s="5">
        <f t="shared" ref="J34:J65" si="4">IF(A34="","",IF(VALUE(SUBSTITUTE(SUBSTITUTE(I34,"%",""),".",","))&lt;60,0,
IF(VALUE(SUBSTITUTE(SUBSTITUTE(I34,"%",""),".",","))&lt;70,1,
IF(VALUE(SUBSTITUTE(SUBSTITUTE(I34,"%",""),".",","))&lt;85,2,4))))</f>
        <v>4</v>
      </c>
      <c r="K34" s="1" t="s">
        <v>70</v>
      </c>
      <c r="L34" s="1">
        <f t="shared" ref="L34:L65" si="5">IF(A34="","",IF(VALUE(SUBSTITUTE(SUBSTITUTE(K34,"%",""),".",","))&lt;60,0,
IF(VALUE(SUBSTITUTE(SUBSTITUTE(K34,"%",""),".",","))&lt;70,1,
IF(VALUE(SUBSTITUTE(SUBSTITUTE(K34,"%",""),".",","))&lt;85,2,4))))</f>
        <v>4</v>
      </c>
      <c r="M34" s="1">
        <v>8</v>
      </c>
    </row>
    <row r="35" spans="1:13" x14ac:dyDescent="0.3">
      <c r="A35" t="s">
        <v>28</v>
      </c>
      <c r="B35" t="s">
        <v>13</v>
      </c>
      <c r="C35" s="2" t="s">
        <v>15</v>
      </c>
      <c r="D35" t="s">
        <v>29</v>
      </c>
      <c r="E35" t="s">
        <v>1</v>
      </c>
      <c r="F35" t="s">
        <v>11</v>
      </c>
      <c r="G35" s="4" t="s">
        <v>30</v>
      </c>
      <c r="H35" s="1">
        <f t="shared" si="3"/>
        <v>0</v>
      </c>
      <c r="I35" s="1" t="s">
        <v>32</v>
      </c>
      <c r="J35" s="5">
        <f t="shared" si="4"/>
        <v>4</v>
      </c>
      <c r="K35" s="1" t="s">
        <v>71</v>
      </c>
      <c r="L35" s="1">
        <f t="shared" si="5"/>
        <v>4</v>
      </c>
      <c r="M35" s="1">
        <v>8</v>
      </c>
    </row>
    <row r="36" spans="1:13" x14ac:dyDescent="0.3">
      <c r="A36" t="s">
        <v>28</v>
      </c>
      <c r="B36" t="s">
        <v>13</v>
      </c>
      <c r="C36" s="2" t="s">
        <v>17</v>
      </c>
      <c r="D36" t="s">
        <v>29</v>
      </c>
      <c r="E36" t="s">
        <v>1</v>
      </c>
      <c r="F36" t="s">
        <v>8</v>
      </c>
      <c r="G36" s="4" t="s">
        <v>45</v>
      </c>
      <c r="H36" s="1">
        <f t="shared" si="3"/>
        <v>1</v>
      </c>
      <c r="I36" s="1" t="s">
        <v>32</v>
      </c>
      <c r="J36" s="5">
        <f t="shared" si="4"/>
        <v>4</v>
      </c>
      <c r="K36" s="1" t="s">
        <v>32</v>
      </c>
      <c r="L36" s="1">
        <f t="shared" si="5"/>
        <v>4</v>
      </c>
      <c r="M36" s="1">
        <v>9</v>
      </c>
    </row>
    <row r="37" spans="1:13" x14ac:dyDescent="0.3">
      <c r="A37" t="s">
        <v>28</v>
      </c>
      <c r="B37" t="s">
        <v>13</v>
      </c>
      <c r="C37" t="s">
        <v>18</v>
      </c>
      <c r="D37" t="s">
        <v>29</v>
      </c>
      <c r="E37" t="s">
        <v>1</v>
      </c>
      <c r="F37" t="s">
        <v>8</v>
      </c>
      <c r="G37" s="4" t="s">
        <v>50</v>
      </c>
      <c r="H37" s="1">
        <f t="shared" si="3"/>
        <v>0</v>
      </c>
      <c r="I37" s="1" t="s">
        <v>30</v>
      </c>
      <c r="J37" s="5">
        <f t="shared" si="4"/>
        <v>0</v>
      </c>
      <c r="K37" s="1" t="s">
        <v>72</v>
      </c>
      <c r="L37" s="1">
        <f t="shared" si="5"/>
        <v>0</v>
      </c>
      <c r="M37" s="1">
        <v>0</v>
      </c>
    </row>
    <row r="38" spans="1:13" x14ac:dyDescent="0.3">
      <c r="A38" t="s">
        <v>28</v>
      </c>
      <c r="B38" t="s">
        <v>13</v>
      </c>
      <c r="C38" t="s">
        <v>6</v>
      </c>
      <c r="D38" t="s">
        <v>29</v>
      </c>
      <c r="E38" t="s">
        <v>1</v>
      </c>
      <c r="F38" t="s">
        <v>8</v>
      </c>
      <c r="G38" s="4" t="s">
        <v>34</v>
      </c>
      <c r="H38" s="1">
        <f t="shared" si="3"/>
        <v>2</v>
      </c>
      <c r="I38" s="1" t="s">
        <v>73</v>
      </c>
      <c r="J38" s="5">
        <f t="shared" si="4"/>
        <v>0</v>
      </c>
      <c r="K38" s="1" t="s">
        <v>74</v>
      </c>
      <c r="L38" s="1">
        <f t="shared" si="5"/>
        <v>2</v>
      </c>
      <c r="M38" s="1">
        <v>4</v>
      </c>
    </row>
    <row r="39" spans="1:13" x14ac:dyDescent="0.3">
      <c r="A39" t="s">
        <v>28</v>
      </c>
      <c r="B39" t="s">
        <v>13</v>
      </c>
      <c r="C39" t="s">
        <v>7</v>
      </c>
      <c r="D39" t="s">
        <v>29</v>
      </c>
      <c r="E39" t="s">
        <v>1</v>
      </c>
      <c r="F39" t="s">
        <v>8</v>
      </c>
      <c r="G39" s="4" t="s">
        <v>39</v>
      </c>
      <c r="H39" s="1">
        <f t="shared" si="3"/>
        <v>0</v>
      </c>
      <c r="I39" s="1" t="s">
        <v>32</v>
      </c>
      <c r="J39" s="5">
        <f t="shared" si="4"/>
        <v>4</v>
      </c>
      <c r="K39" s="1" t="s">
        <v>75</v>
      </c>
      <c r="L39" s="1">
        <f t="shared" si="5"/>
        <v>2</v>
      </c>
      <c r="M39" s="1">
        <v>6</v>
      </c>
    </row>
    <row r="40" spans="1:13" x14ac:dyDescent="0.3">
      <c r="A40" t="s">
        <v>28</v>
      </c>
      <c r="B40" t="s">
        <v>13</v>
      </c>
      <c r="C40" t="s">
        <v>19</v>
      </c>
      <c r="D40" t="s">
        <v>29</v>
      </c>
      <c r="E40" t="s">
        <v>1</v>
      </c>
      <c r="F40" t="s">
        <v>8</v>
      </c>
      <c r="G40" s="4" t="s">
        <v>30</v>
      </c>
      <c r="H40" s="1">
        <f t="shared" si="3"/>
        <v>0</v>
      </c>
      <c r="I40" s="1" t="s">
        <v>30</v>
      </c>
      <c r="J40" s="5">
        <f t="shared" si="4"/>
        <v>0</v>
      </c>
      <c r="K40" s="1" t="s">
        <v>30</v>
      </c>
      <c r="L40" s="1">
        <f t="shared" si="5"/>
        <v>0</v>
      </c>
      <c r="M40" s="1">
        <v>0</v>
      </c>
    </row>
    <row r="41" spans="1:13" x14ac:dyDescent="0.3">
      <c r="A41" t="s">
        <v>28</v>
      </c>
      <c r="B41" t="s">
        <v>20</v>
      </c>
      <c r="C41" t="s">
        <v>20</v>
      </c>
      <c r="D41" t="s">
        <v>36</v>
      </c>
      <c r="E41" t="s">
        <v>1</v>
      </c>
      <c r="F41" t="s">
        <v>8</v>
      </c>
      <c r="G41" s="4" t="s">
        <v>45</v>
      </c>
      <c r="H41" s="1">
        <f t="shared" si="3"/>
        <v>1</v>
      </c>
      <c r="I41" s="1" t="s">
        <v>76</v>
      </c>
      <c r="J41" s="5">
        <f t="shared" si="4"/>
        <v>0</v>
      </c>
      <c r="K41" s="1" t="s">
        <v>77</v>
      </c>
      <c r="L41" s="1">
        <f t="shared" si="5"/>
        <v>0</v>
      </c>
      <c r="M41" s="1">
        <v>1</v>
      </c>
    </row>
    <row r="42" spans="1:13" x14ac:dyDescent="0.3">
      <c r="A42" t="s">
        <v>28</v>
      </c>
      <c r="B42" t="s">
        <v>13</v>
      </c>
      <c r="C42" s="2" t="s">
        <v>12</v>
      </c>
      <c r="D42" t="s">
        <v>29</v>
      </c>
      <c r="E42" t="s">
        <v>1</v>
      </c>
      <c r="F42" t="s">
        <v>10</v>
      </c>
      <c r="G42" s="4" t="s">
        <v>50</v>
      </c>
      <c r="H42" s="1">
        <f t="shared" si="3"/>
        <v>0</v>
      </c>
      <c r="I42" s="1" t="s">
        <v>32</v>
      </c>
      <c r="J42" s="5">
        <f t="shared" si="4"/>
        <v>4</v>
      </c>
      <c r="K42" s="1" t="s">
        <v>78</v>
      </c>
      <c r="L42" s="1">
        <f t="shared" si="5"/>
        <v>4</v>
      </c>
      <c r="M42" s="1">
        <v>8</v>
      </c>
    </row>
    <row r="43" spans="1:13" x14ac:dyDescent="0.3">
      <c r="A43" t="s">
        <v>28</v>
      </c>
      <c r="B43" t="s">
        <v>13</v>
      </c>
      <c r="C43" t="s">
        <v>14</v>
      </c>
      <c r="D43" t="s">
        <v>29</v>
      </c>
      <c r="E43" t="s">
        <v>1</v>
      </c>
      <c r="F43" t="s">
        <v>10</v>
      </c>
      <c r="G43" s="4" t="s">
        <v>32</v>
      </c>
      <c r="H43" s="1">
        <f t="shared" si="3"/>
        <v>4</v>
      </c>
      <c r="I43" s="1" t="s">
        <v>30</v>
      </c>
      <c r="J43" s="5">
        <f t="shared" si="4"/>
        <v>0</v>
      </c>
      <c r="K43" s="1" t="s">
        <v>79</v>
      </c>
      <c r="L43" s="1">
        <f t="shared" si="5"/>
        <v>4</v>
      </c>
      <c r="M43" s="1">
        <v>8</v>
      </c>
    </row>
    <row r="44" spans="1:13" x14ac:dyDescent="0.3">
      <c r="A44" t="s">
        <v>28</v>
      </c>
      <c r="B44" t="s">
        <v>13</v>
      </c>
      <c r="C44" s="3" t="s">
        <v>16</v>
      </c>
      <c r="D44" t="s">
        <v>29</v>
      </c>
      <c r="E44" t="s">
        <v>1</v>
      </c>
      <c r="F44" t="s">
        <v>5</v>
      </c>
      <c r="G44" s="4" t="s">
        <v>30</v>
      </c>
      <c r="H44" s="1">
        <f t="shared" si="3"/>
        <v>0</v>
      </c>
      <c r="I44" s="1" t="s">
        <v>30</v>
      </c>
      <c r="J44" s="5">
        <f t="shared" si="4"/>
        <v>0</v>
      </c>
      <c r="K44" s="1" t="s">
        <v>30</v>
      </c>
      <c r="L44" s="1">
        <f t="shared" si="5"/>
        <v>0</v>
      </c>
      <c r="M44" s="1">
        <v>0</v>
      </c>
    </row>
    <row r="45" spans="1:13" x14ac:dyDescent="0.3">
      <c r="A45" t="s">
        <v>28</v>
      </c>
      <c r="B45" t="s">
        <v>13</v>
      </c>
      <c r="C45" s="3" t="s">
        <v>16</v>
      </c>
      <c r="D45" t="s">
        <v>29</v>
      </c>
      <c r="E45" t="s">
        <v>1</v>
      </c>
      <c r="F45" t="s">
        <v>8</v>
      </c>
      <c r="G45" s="4" t="s">
        <v>30</v>
      </c>
      <c r="H45" s="1">
        <f t="shared" si="3"/>
        <v>0</v>
      </c>
      <c r="I45" s="1" t="s">
        <v>30</v>
      </c>
      <c r="J45" s="5">
        <f t="shared" si="4"/>
        <v>0</v>
      </c>
      <c r="K45" s="1" t="s">
        <v>30</v>
      </c>
      <c r="L45" s="1">
        <f t="shared" si="5"/>
        <v>0</v>
      </c>
      <c r="M45" s="1">
        <v>0</v>
      </c>
    </row>
    <row r="46" spans="1:13" x14ac:dyDescent="0.3">
      <c r="A46" t="s">
        <v>28</v>
      </c>
      <c r="B46" t="s">
        <v>13</v>
      </c>
      <c r="C46" s="2" t="s">
        <v>17</v>
      </c>
      <c r="D46" t="s">
        <v>29</v>
      </c>
      <c r="E46" t="s">
        <v>1</v>
      </c>
      <c r="F46" t="s">
        <v>10</v>
      </c>
      <c r="G46" s="4" t="s">
        <v>50</v>
      </c>
      <c r="H46" s="1">
        <f t="shared" si="3"/>
        <v>0</v>
      </c>
      <c r="I46" s="1" t="s">
        <v>32</v>
      </c>
      <c r="J46" s="5">
        <f t="shared" si="4"/>
        <v>4</v>
      </c>
      <c r="K46" s="1" t="s">
        <v>32</v>
      </c>
      <c r="L46" s="1">
        <f t="shared" si="5"/>
        <v>4</v>
      </c>
      <c r="M46" s="1">
        <v>8</v>
      </c>
    </row>
    <row r="47" spans="1:13" x14ac:dyDescent="0.3">
      <c r="A47" t="s">
        <v>28</v>
      </c>
      <c r="B47" t="s">
        <v>13</v>
      </c>
      <c r="C47" t="s">
        <v>18</v>
      </c>
      <c r="D47" t="s">
        <v>29</v>
      </c>
      <c r="E47" t="s">
        <v>1</v>
      </c>
      <c r="F47" t="s">
        <v>10</v>
      </c>
      <c r="G47" s="4" t="s">
        <v>39</v>
      </c>
      <c r="H47" s="1">
        <f t="shared" si="3"/>
        <v>0</v>
      </c>
      <c r="I47" s="1" t="s">
        <v>30</v>
      </c>
      <c r="J47" s="5">
        <f t="shared" si="4"/>
        <v>0</v>
      </c>
      <c r="K47" s="1" t="s">
        <v>80</v>
      </c>
      <c r="L47" s="1">
        <f t="shared" si="5"/>
        <v>1</v>
      </c>
      <c r="M47" s="1">
        <v>1</v>
      </c>
    </row>
    <row r="48" spans="1:13" x14ac:dyDescent="0.3">
      <c r="A48" t="s">
        <v>28</v>
      </c>
      <c r="B48" t="s">
        <v>13</v>
      </c>
      <c r="C48" t="s">
        <v>6</v>
      </c>
      <c r="D48" t="s">
        <v>29</v>
      </c>
      <c r="E48" t="s">
        <v>1</v>
      </c>
      <c r="F48" t="s">
        <v>10</v>
      </c>
      <c r="G48" s="4" t="s">
        <v>32</v>
      </c>
      <c r="H48" s="1">
        <f t="shared" si="3"/>
        <v>4</v>
      </c>
      <c r="I48" s="1" t="s">
        <v>32</v>
      </c>
      <c r="J48" s="5">
        <f t="shared" si="4"/>
        <v>4</v>
      </c>
      <c r="K48" s="1" t="s">
        <v>81</v>
      </c>
      <c r="L48" s="1">
        <f t="shared" si="5"/>
        <v>4</v>
      </c>
      <c r="M48" s="1">
        <v>12</v>
      </c>
    </row>
    <row r="49" spans="1:13" x14ac:dyDescent="0.3">
      <c r="A49" t="s">
        <v>28</v>
      </c>
      <c r="B49" t="s">
        <v>13</v>
      </c>
      <c r="C49" t="s">
        <v>7</v>
      </c>
      <c r="D49" t="s">
        <v>29</v>
      </c>
      <c r="E49" t="s">
        <v>1</v>
      </c>
      <c r="F49" t="s">
        <v>10</v>
      </c>
      <c r="G49" s="4" t="s">
        <v>39</v>
      </c>
      <c r="H49" s="1">
        <f t="shared" si="3"/>
        <v>0</v>
      </c>
      <c r="I49" s="1" t="s">
        <v>32</v>
      </c>
      <c r="J49" s="5">
        <f t="shared" si="4"/>
        <v>4</v>
      </c>
      <c r="K49" s="1" t="s">
        <v>82</v>
      </c>
      <c r="L49" s="1">
        <f t="shared" si="5"/>
        <v>0</v>
      </c>
      <c r="M49" s="1">
        <v>4</v>
      </c>
    </row>
    <row r="50" spans="1:13" x14ac:dyDescent="0.3">
      <c r="A50" t="s">
        <v>28</v>
      </c>
      <c r="B50" t="s">
        <v>13</v>
      </c>
      <c r="C50" t="s">
        <v>19</v>
      </c>
      <c r="D50" t="s">
        <v>29</v>
      </c>
      <c r="E50" t="s">
        <v>1</v>
      </c>
      <c r="F50" t="s">
        <v>10</v>
      </c>
      <c r="G50" s="4" t="s">
        <v>30</v>
      </c>
      <c r="H50" s="1">
        <f t="shared" si="3"/>
        <v>0</v>
      </c>
      <c r="I50" s="1" t="s">
        <v>30</v>
      </c>
      <c r="J50" s="5">
        <f t="shared" si="4"/>
        <v>0</v>
      </c>
      <c r="K50" s="1" t="s">
        <v>30</v>
      </c>
      <c r="L50" s="1">
        <f t="shared" si="5"/>
        <v>0</v>
      </c>
      <c r="M50" s="1">
        <v>0</v>
      </c>
    </row>
    <row r="51" spans="1:13" x14ac:dyDescent="0.3">
      <c r="A51" t="s">
        <v>28</v>
      </c>
      <c r="B51" t="s">
        <v>20</v>
      </c>
      <c r="C51" t="s">
        <v>20</v>
      </c>
      <c r="D51" t="s">
        <v>36</v>
      </c>
      <c r="E51" t="s">
        <v>1</v>
      </c>
      <c r="F51" t="s">
        <v>10</v>
      </c>
      <c r="G51" s="4" t="s">
        <v>83</v>
      </c>
      <c r="H51" s="1">
        <f t="shared" si="3"/>
        <v>1</v>
      </c>
      <c r="I51" s="1" t="s">
        <v>84</v>
      </c>
      <c r="J51" s="5">
        <f t="shared" si="4"/>
        <v>0</v>
      </c>
      <c r="K51" s="1" t="s">
        <v>85</v>
      </c>
      <c r="L51" s="1">
        <f t="shared" si="5"/>
        <v>0</v>
      </c>
      <c r="M51" s="1">
        <v>1</v>
      </c>
    </row>
    <row r="52" spans="1:13" x14ac:dyDescent="0.3">
      <c r="A52" t="s">
        <v>28</v>
      </c>
      <c r="B52" t="s">
        <v>13</v>
      </c>
      <c r="C52" s="2" t="s">
        <v>12</v>
      </c>
      <c r="D52" t="s">
        <v>29</v>
      </c>
      <c r="E52" t="s">
        <v>1</v>
      </c>
      <c r="F52" t="s">
        <v>11</v>
      </c>
      <c r="G52" s="4" t="s">
        <v>50</v>
      </c>
      <c r="H52" s="1">
        <f t="shared" si="3"/>
        <v>0</v>
      </c>
      <c r="I52" s="1" t="s">
        <v>32</v>
      </c>
      <c r="J52" s="5">
        <f t="shared" si="4"/>
        <v>4</v>
      </c>
      <c r="K52" s="1" t="s">
        <v>86</v>
      </c>
      <c r="L52" s="1">
        <f t="shared" si="5"/>
        <v>2</v>
      </c>
      <c r="M52" s="1">
        <v>6</v>
      </c>
    </row>
    <row r="53" spans="1:13" x14ac:dyDescent="0.3">
      <c r="A53" t="s">
        <v>28</v>
      </c>
      <c r="B53" t="s">
        <v>13</v>
      </c>
      <c r="C53" t="s">
        <v>14</v>
      </c>
      <c r="D53" t="s">
        <v>29</v>
      </c>
      <c r="E53" t="s">
        <v>1</v>
      </c>
      <c r="F53" t="s">
        <v>11</v>
      </c>
      <c r="G53" s="4" t="s">
        <v>31</v>
      </c>
      <c r="H53" s="1">
        <f t="shared" si="3"/>
        <v>2</v>
      </c>
      <c r="I53" s="1" t="s">
        <v>30</v>
      </c>
      <c r="J53" s="5">
        <f t="shared" si="4"/>
        <v>0</v>
      </c>
      <c r="K53" s="1" t="s">
        <v>32</v>
      </c>
      <c r="L53" s="1">
        <f t="shared" si="5"/>
        <v>4</v>
      </c>
      <c r="M53" s="1">
        <v>6</v>
      </c>
    </row>
    <row r="54" spans="1:13" x14ac:dyDescent="0.3">
      <c r="A54" t="s">
        <v>28</v>
      </c>
      <c r="B54" t="s">
        <v>13</v>
      </c>
      <c r="C54" s="3" t="s">
        <v>16</v>
      </c>
      <c r="D54" t="s">
        <v>29</v>
      </c>
      <c r="E54" t="s">
        <v>1</v>
      </c>
      <c r="F54" t="s">
        <v>10</v>
      </c>
      <c r="G54" s="4" t="s">
        <v>30</v>
      </c>
      <c r="H54" s="1">
        <f t="shared" si="3"/>
        <v>0</v>
      </c>
      <c r="I54" s="1" t="s">
        <v>30</v>
      </c>
      <c r="J54" s="5">
        <f t="shared" si="4"/>
        <v>0</v>
      </c>
      <c r="K54" s="1" t="s">
        <v>30</v>
      </c>
      <c r="L54" s="1">
        <f t="shared" si="5"/>
        <v>0</v>
      </c>
      <c r="M54" s="1">
        <v>0</v>
      </c>
    </row>
    <row r="55" spans="1:13" x14ac:dyDescent="0.3">
      <c r="A55" t="s">
        <v>28</v>
      </c>
      <c r="B55" t="s">
        <v>13</v>
      </c>
      <c r="C55" s="3" t="s">
        <v>16</v>
      </c>
      <c r="D55" t="s">
        <v>29</v>
      </c>
      <c r="E55" t="s">
        <v>1</v>
      </c>
      <c r="F55" t="s">
        <v>11</v>
      </c>
      <c r="G55" s="4" t="s">
        <v>30</v>
      </c>
      <c r="H55" s="1">
        <f t="shared" si="3"/>
        <v>0</v>
      </c>
      <c r="I55" s="1" t="s">
        <v>30</v>
      </c>
      <c r="J55" s="5">
        <f t="shared" si="4"/>
        <v>0</v>
      </c>
      <c r="K55" s="1" t="s">
        <v>30</v>
      </c>
      <c r="L55" s="1">
        <f t="shared" si="5"/>
        <v>0</v>
      </c>
      <c r="M55" s="1">
        <v>0</v>
      </c>
    </row>
    <row r="56" spans="1:13" x14ac:dyDescent="0.3">
      <c r="A56" t="s">
        <v>28</v>
      </c>
      <c r="B56" t="s">
        <v>13</v>
      </c>
      <c r="C56" s="2" t="s">
        <v>17</v>
      </c>
      <c r="D56" t="s">
        <v>29</v>
      </c>
      <c r="E56" t="s">
        <v>1</v>
      </c>
      <c r="F56" t="s">
        <v>11</v>
      </c>
      <c r="G56" s="4" t="s">
        <v>39</v>
      </c>
      <c r="H56" s="1">
        <f t="shared" si="3"/>
        <v>0</v>
      </c>
      <c r="I56" s="1" t="s">
        <v>32</v>
      </c>
      <c r="J56" s="5">
        <f t="shared" si="4"/>
        <v>4</v>
      </c>
      <c r="K56" s="1" t="s">
        <v>87</v>
      </c>
      <c r="L56" s="1">
        <f t="shared" si="5"/>
        <v>2</v>
      </c>
      <c r="M56" s="1">
        <v>6</v>
      </c>
    </row>
    <row r="57" spans="1:13" x14ac:dyDescent="0.3">
      <c r="A57" t="s">
        <v>28</v>
      </c>
      <c r="B57" t="s">
        <v>13</v>
      </c>
      <c r="C57" t="s">
        <v>18</v>
      </c>
      <c r="D57" t="s">
        <v>29</v>
      </c>
      <c r="E57" t="s">
        <v>1</v>
      </c>
      <c r="F57" t="s">
        <v>11</v>
      </c>
      <c r="G57" s="4" t="s">
        <v>50</v>
      </c>
      <c r="H57" s="1">
        <f t="shared" si="3"/>
        <v>0</v>
      </c>
      <c r="I57" s="1" t="s">
        <v>30</v>
      </c>
      <c r="J57" s="5">
        <f t="shared" si="4"/>
        <v>0</v>
      </c>
      <c r="K57" s="1" t="s">
        <v>88</v>
      </c>
      <c r="L57" s="1">
        <f t="shared" si="5"/>
        <v>0</v>
      </c>
      <c r="M57" s="1">
        <v>0</v>
      </c>
    </row>
    <row r="58" spans="1:13" x14ac:dyDescent="0.3">
      <c r="A58" t="s">
        <v>28</v>
      </c>
      <c r="B58" t="s">
        <v>13</v>
      </c>
      <c r="C58" t="s">
        <v>6</v>
      </c>
      <c r="D58" t="s">
        <v>29</v>
      </c>
      <c r="E58" t="s">
        <v>1</v>
      </c>
      <c r="F58" t="s">
        <v>11</v>
      </c>
      <c r="G58" s="4" t="s">
        <v>31</v>
      </c>
      <c r="H58" s="1">
        <f t="shared" si="3"/>
        <v>2</v>
      </c>
      <c r="I58" s="1" t="s">
        <v>32</v>
      </c>
      <c r="J58" s="5">
        <f t="shared" si="4"/>
        <v>4</v>
      </c>
      <c r="K58" s="1" t="s">
        <v>60</v>
      </c>
      <c r="L58" s="1">
        <f t="shared" si="5"/>
        <v>2</v>
      </c>
      <c r="M58" s="1">
        <v>8</v>
      </c>
    </row>
    <row r="59" spans="1:13" x14ac:dyDescent="0.3">
      <c r="A59" t="s">
        <v>28</v>
      </c>
      <c r="B59" t="s">
        <v>13</v>
      </c>
      <c r="C59" t="s">
        <v>7</v>
      </c>
      <c r="D59" t="s">
        <v>29</v>
      </c>
      <c r="E59" t="s">
        <v>1</v>
      </c>
      <c r="F59" t="s">
        <v>11</v>
      </c>
      <c r="G59" s="4" t="s">
        <v>43</v>
      </c>
      <c r="H59" s="1">
        <f t="shared" si="3"/>
        <v>0</v>
      </c>
      <c r="I59" s="1" t="s">
        <v>32</v>
      </c>
      <c r="J59" s="5">
        <f t="shared" si="4"/>
        <v>4</v>
      </c>
      <c r="K59" s="1" t="s">
        <v>89</v>
      </c>
      <c r="L59" s="1">
        <f t="shared" si="5"/>
        <v>1</v>
      </c>
      <c r="M59" s="1">
        <v>5</v>
      </c>
    </row>
    <row r="60" spans="1:13" x14ac:dyDescent="0.3">
      <c r="A60" t="s">
        <v>28</v>
      </c>
      <c r="B60" t="s">
        <v>13</v>
      </c>
      <c r="C60" t="s">
        <v>19</v>
      </c>
      <c r="D60" t="s">
        <v>29</v>
      </c>
      <c r="E60" t="s">
        <v>1</v>
      </c>
      <c r="F60" t="s">
        <v>11</v>
      </c>
      <c r="G60" s="4" t="s">
        <v>30</v>
      </c>
      <c r="H60" s="1">
        <f t="shared" si="3"/>
        <v>0</v>
      </c>
      <c r="I60" s="1" t="s">
        <v>30</v>
      </c>
      <c r="J60" s="5">
        <f t="shared" si="4"/>
        <v>0</v>
      </c>
      <c r="K60" s="1" t="s">
        <v>30</v>
      </c>
      <c r="L60" s="1">
        <f t="shared" si="5"/>
        <v>0</v>
      </c>
      <c r="M60" s="1">
        <v>0</v>
      </c>
    </row>
    <row r="61" spans="1:13" x14ac:dyDescent="0.3">
      <c r="A61" t="s">
        <v>28</v>
      </c>
      <c r="B61" t="s">
        <v>20</v>
      </c>
      <c r="C61" t="s">
        <v>20</v>
      </c>
      <c r="D61" t="s">
        <v>36</v>
      </c>
      <c r="E61" t="s">
        <v>1</v>
      </c>
      <c r="F61" t="s">
        <v>11</v>
      </c>
      <c r="G61" s="4" t="s">
        <v>90</v>
      </c>
      <c r="H61" s="1">
        <f t="shared" si="3"/>
        <v>1</v>
      </c>
      <c r="I61" s="1" t="s">
        <v>91</v>
      </c>
      <c r="J61" s="5">
        <f t="shared" si="4"/>
        <v>0</v>
      </c>
      <c r="K61" s="1" t="s">
        <v>92</v>
      </c>
      <c r="L61" s="1">
        <f t="shared" si="5"/>
        <v>2</v>
      </c>
      <c r="M61" s="1">
        <v>3</v>
      </c>
    </row>
    <row r="62" spans="1:13" x14ac:dyDescent="0.3">
      <c r="A62" t="s">
        <v>28</v>
      </c>
      <c r="B62" t="s">
        <v>13</v>
      </c>
      <c r="C62" t="s">
        <v>13</v>
      </c>
      <c r="D62" t="s">
        <v>36</v>
      </c>
      <c r="E62" t="s">
        <v>1</v>
      </c>
      <c r="F62" t="s">
        <v>5</v>
      </c>
      <c r="G62" s="4" t="s">
        <v>93</v>
      </c>
      <c r="H62" s="1">
        <f t="shared" si="3"/>
        <v>1</v>
      </c>
      <c r="I62" s="1" t="s">
        <v>66</v>
      </c>
      <c r="J62" s="5">
        <f t="shared" si="4"/>
        <v>0</v>
      </c>
      <c r="K62" s="1" t="s">
        <v>94</v>
      </c>
      <c r="L62" s="1">
        <f t="shared" si="5"/>
        <v>0</v>
      </c>
      <c r="M62" s="1">
        <v>1</v>
      </c>
    </row>
    <row r="63" spans="1:13" x14ac:dyDescent="0.3">
      <c r="A63" t="s">
        <v>28</v>
      </c>
      <c r="B63" t="s">
        <v>13</v>
      </c>
      <c r="C63" t="s">
        <v>13</v>
      </c>
      <c r="D63" t="s">
        <v>36</v>
      </c>
      <c r="E63" t="s">
        <v>1</v>
      </c>
      <c r="F63" t="s">
        <v>8</v>
      </c>
      <c r="G63" s="4" t="s">
        <v>95</v>
      </c>
      <c r="H63" s="1">
        <f t="shared" si="3"/>
        <v>0</v>
      </c>
      <c r="I63" s="1" t="s">
        <v>76</v>
      </c>
      <c r="J63" s="5">
        <f t="shared" si="4"/>
        <v>0</v>
      </c>
      <c r="K63" s="1" t="s">
        <v>96</v>
      </c>
      <c r="L63" s="1">
        <f t="shared" si="5"/>
        <v>2</v>
      </c>
      <c r="M63" s="1">
        <v>2</v>
      </c>
    </row>
    <row r="64" spans="1:13" x14ac:dyDescent="0.3">
      <c r="A64" t="s">
        <v>28</v>
      </c>
      <c r="B64" t="s">
        <v>13</v>
      </c>
      <c r="C64" t="s">
        <v>13</v>
      </c>
      <c r="D64" t="s">
        <v>36</v>
      </c>
      <c r="E64" t="s">
        <v>1</v>
      </c>
      <c r="F64" t="s">
        <v>10</v>
      </c>
      <c r="G64" s="4" t="s">
        <v>97</v>
      </c>
      <c r="H64" s="1">
        <f t="shared" si="3"/>
        <v>0</v>
      </c>
      <c r="I64" s="1" t="s">
        <v>84</v>
      </c>
      <c r="J64" s="5">
        <f t="shared" si="4"/>
        <v>0</v>
      </c>
      <c r="K64" s="1" t="s">
        <v>98</v>
      </c>
      <c r="L64" s="1">
        <f t="shared" si="5"/>
        <v>2</v>
      </c>
      <c r="M64" s="1">
        <v>2</v>
      </c>
    </row>
    <row r="65" spans="1:13" x14ac:dyDescent="0.3">
      <c r="A65" t="s">
        <v>28</v>
      </c>
      <c r="B65" t="s">
        <v>13</v>
      </c>
      <c r="C65" t="s">
        <v>13</v>
      </c>
      <c r="D65" t="s">
        <v>36</v>
      </c>
      <c r="E65" t="s">
        <v>1</v>
      </c>
      <c r="F65" t="s">
        <v>11</v>
      </c>
      <c r="G65" s="4" t="s">
        <v>99</v>
      </c>
      <c r="H65" s="1">
        <f t="shared" si="3"/>
        <v>0</v>
      </c>
      <c r="I65" s="1" t="s">
        <v>43</v>
      </c>
      <c r="J65" s="5">
        <f t="shared" si="4"/>
        <v>0</v>
      </c>
      <c r="K65" s="1" t="s">
        <v>100</v>
      </c>
      <c r="L65" s="1">
        <f t="shared" si="5"/>
        <v>2</v>
      </c>
      <c r="M65" s="1">
        <v>2</v>
      </c>
    </row>
    <row r="66" spans="1:13" x14ac:dyDescent="0.3">
      <c r="A66" t="s">
        <v>28</v>
      </c>
      <c r="B66" t="s">
        <v>20</v>
      </c>
      <c r="C66" t="s">
        <v>20</v>
      </c>
      <c r="D66" t="s">
        <v>36</v>
      </c>
      <c r="E66" t="s">
        <v>101</v>
      </c>
      <c r="F66" t="s">
        <v>102</v>
      </c>
      <c r="G66" s="4" t="s">
        <v>103</v>
      </c>
      <c r="H66" s="1">
        <f t="shared" ref="H66:H97" si="6">_xlfn.LET(_xlpm.x,VALUE(SUBSTITUTE(G66,".",",")),IF(_xlpm.x&lt;50,0,IF(_xlpm.x&lt;60,1,IF(_xlpm.x&lt;90,2,4))))</f>
        <v>1</v>
      </c>
      <c r="I66" s="1" t="s">
        <v>104</v>
      </c>
      <c r="J66" s="5">
        <f t="shared" ref="J66:J68" si="7">IF(A66="","",IF(VALUE(SUBSTITUTE(SUBSTITUTE(I66,"%",""),".",","))&lt;60,0,
IF(VALUE(SUBSTITUTE(SUBSTITUTE(I66,"%",""),".",","))&lt;70,1,
IF(VALUE(SUBSTITUTE(SUBSTITUTE(I66,"%",""),".",","))&lt;85,2,4))))</f>
        <v>0</v>
      </c>
      <c r="K66" s="1" t="s">
        <v>105</v>
      </c>
      <c r="L66" s="1">
        <f t="shared" ref="L66:L97" si="8">IF(A66="","",IF(VALUE(SUBSTITUTE(SUBSTITUTE(K66,"%",""),".",","))&lt;60,0,
IF(VALUE(SUBSTITUTE(SUBSTITUTE(K66,"%",""),".",","))&lt;70,1,
IF(VALUE(SUBSTITUTE(SUBSTITUTE(K66,"%",""),".",","))&lt;85,2,4))))</f>
        <v>0</v>
      </c>
      <c r="M66" s="1">
        <v>1</v>
      </c>
    </row>
    <row r="67" spans="1:13" x14ac:dyDescent="0.3">
      <c r="A67" t="s">
        <v>28</v>
      </c>
      <c r="B67" t="s">
        <v>3</v>
      </c>
      <c r="C67" t="s">
        <v>3</v>
      </c>
      <c r="D67" t="s">
        <v>36</v>
      </c>
      <c r="E67" t="s">
        <v>101</v>
      </c>
      <c r="F67" t="s">
        <v>102</v>
      </c>
      <c r="G67" s="4" t="s">
        <v>106</v>
      </c>
      <c r="H67" s="1">
        <f t="shared" si="6"/>
        <v>2</v>
      </c>
      <c r="I67" s="1" t="s">
        <v>32</v>
      </c>
      <c r="J67" s="5">
        <f t="shared" si="7"/>
        <v>4</v>
      </c>
      <c r="K67" s="1" t="s">
        <v>107</v>
      </c>
      <c r="L67" s="1">
        <f t="shared" si="8"/>
        <v>0</v>
      </c>
      <c r="M67" s="1">
        <v>6</v>
      </c>
    </row>
    <row r="68" spans="1:13" x14ac:dyDescent="0.3">
      <c r="A68" t="s">
        <v>28</v>
      </c>
      <c r="B68" t="s">
        <v>13</v>
      </c>
      <c r="C68" t="s">
        <v>13</v>
      </c>
      <c r="D68" t="s">
        <v>36</v>
      </c>
      <c r="E68" t="s">
        <v>101</v>
      </c>
      <c r="F68" t="s">
        <v>102</v>
      </c>
      <c r="G68" s="4" t="s">
        <v>108</v>
      </c>
      <c r="H68" s="1">
        <f t="shared" si="6"/>
        <v>0</v>
      </c>
      <c r="I68" s="1" t="s">
        <v>43</v>
      </c>
      <c r="J68" s="5">
        <f t="shared" si="7"/>
        <v>0</v>
      </c>
      <c r="K68" s="1" t="s">
        <v>109</v>
      </c>
      <c r="L68" s="1">
        <f t="shared" si="8"/>
        <v>1</v>
      </c>
      <c r="M68" s="1">
        <v>1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90A1BC5-3B11-4401-925D-9C92C0E1278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KENEDY ANDERSON PEREIRA DOS SANTOS</cp:lastModifiedBy>
  <cp:revision/>
  <dcterms:created xsi:type="dcterms:W3CDTF">2026-02-06T19:09:17Z</dcterms:created>
  <dcterms:modified xsi:type="dcterms:W3CDTF">2026-02-09T11:28:07Z</dcterms:modified>
  <cp:category/>
  <cp:contentStatus/>
</cp:coreProperties>
</file>